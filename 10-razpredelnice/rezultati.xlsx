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a/Downloads/10-razpredelnice/"/>
    </mc:Choice>
  </mc:AlternateContent>
  <xr:revisionPtr revIDLastSave="0" documentId="13_ncr:1_{28CBBFC8-1059-E34F-9177-CA869E0903E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zultati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22" i="1"/>
  <c r="F23" i="1"/>
  <c r="F24" i="1"/>
  <c r="F25" i="1"/>
  <c r="F26" i="1"/>
  <c r="F27" i="1"/>
  <c r="F28" i="1"/>
  <c r="F29" i="1"/>
  <c r="F30" i="1"/>
  <c r="F19" i="1"/>
  <c r="F20" i="1"/>
  <c r="F21" i="1"/>
  <c r="F7" i="1"/>
  <c r="F8" i="1"/>
  <c r="F9" i="1"/>
  <c r="F10" i="1"/>
  <c r="F11" i="1"/>
  <c r="F12" i="1"/>
  <c r="F13" i="1"/>
  <c r="F14" i="1"/>
  <c r="F15" i="1"/>
  <c r="F16" i="1"/>
  <c r="F17" i="1"/>
  <c r="F18" i="1"/>
  <c r="F4" i="1"/>
  <c r="F5" i="1"/>
  <c r="F6" i="1"/>
  <c r="F3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<sst xmlns="http://schemas.openxmlformats.org/spreadsheetml/2006/main" count="104" uniqueCount="69">
  <si>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</si>
  <si>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</si>
  <si>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</si>
  <si>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</si>
  <si>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</si>
  <si>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</si>
  <si>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</si>
  <si>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</si>
  <si>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</si>
  <si>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</si>
  <si>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</si>
  <si>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</si>
  <si>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</si>
  <si>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</si>
  <si>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</si>
  <si>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</si>
  <si>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</si>
  <si>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</si>
  <si>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</si>
  <si>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</si>
  <si>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</si>
  <si>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</si>
  <si>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</si>
  <si>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</si>
  <si>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</si>
  <si>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</si>
  <si>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</si>
  <si>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</si>
  <si>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</si>
  <si>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</si>
  <si>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</si>
  <si>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</si>
  <si>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</si>
  <si>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</si>
  <si>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</si>
  <si>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</si>
  <si>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</si>
  <si>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</si>
  <si>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</si>
  <si>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</si>
  <si>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</si>
  <si>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</si>
  <si>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</si>
  <si>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</si>
  <si>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</si>
  <si>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</si>
  <si>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</si>
  <si>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</si>
  <si>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</si>
  <si>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</si>
  <si>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</si>
  <si>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</si>
  <si>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</si>
  <si>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</si>
  <si>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</si>
  <si>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</si>
  <si>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</si>
  <si>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</si>
  <si>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</si>
  <si>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</si>
  <si>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</si>
  <si>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</si>
  <si>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</si>
  <si>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</si>
  <si>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</si>
  <si>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</si>
  <si>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</si>
  <si>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Minimum</t>
  </si>
  <si>
    <t>Maksimum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</si>
</sst>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[rezultati.xlsx]Rezultati!PivotTable1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'Rezultati'!$I$7</c:f>
              <c:strCache>
                <c:ptCount val="1"/>
                <c:pt idx="0">
                  <c:v>Udeležba</c:v>
                </c:pt>
              </c:strCache>
            </c:strRef>
          </c:tx>
          <c:explosion val="12"/>
          <c:dPt>
            <c:idx val="0"/>
            <c:bubble3D val="0"/>
            <c:explosion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C6-494D-B5BD-63FF4E3A7FF9}"/>
              </c:ext>
            </c:extLst>
          </c:dPt>
          <c:dPt>
            <c:idx val="1"/>
            <c:bubble3D val="0"/>
            <c:explosion val="32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C6-494D-B5BD-63FF4E3A7FF9}"/>
              </c:ext>
            </c:extLst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BEC6-494D-B5BD-63FF4E3A7FF9}"/>
              </c:ext>
            </c:extLst>
          </c:dPt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'Rezultati'!$I$8:$I$10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6-494D-B5BD-63FF4E3A7FF9}"/>
            </c:ext>
          </c:extLst>
        </c:ser>
        <c:ser>
          <c:idx val="1"/>
          <c:order val="1"/>
          <c:tx>
            <c:strRef>
              <c:f>'Rezultati'!$J$7</c:f>
              <c:strCache>
                <c:ptCount val="1"/>
                <c:pt idx="0">
                  <c:v>Povprečje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'Rezultati'!$J$8:$J$10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6-494D-B5BD-63FF4E3A7FF9}"/>
            </c:ext>
          </c:extLst>
        </c:ser>
        <c:ser>
          <c:idx val="2"/>
          <c:order val="2"/>
          <c:tx>
            <c:strRef>
              <c:f>'Rezultati'!$K$7</c:f>
              <c:strCache>
                <c:ptCount val="1"/>
                <c:pt idx="0">
                  <c:v>Maksimum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'Rezultati'!$K$8:$K$10</c:f>
              <c:numCache>
                <c:formatCode>General</c:formatCode>
                <c:ptCount val="3"/>
                <c:pt idx="0">
                  <c:v>94</c:v>
                </c:pt>
                <c:pt idx="1">
                  <c:v>100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6-494D-B5BD-63FF4E3A7FF9}"/>
            </c:ext>
          </c:extLst>
        </c:ser>
        <c:ser>
          <c:idx val="3"/>
          <c:order val="3"/>
          <c:tx>
            <c:strRef>
              <c:f>'Rezultati'!$L$7</c:f>
              <c:strCache>
                <c:ptCount val="1"/>
                <c:pt idx="0">
                  <c:v>Minimum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'Rezultati'!$L$8:$L$10</c:f>
              <c:numCache>
                <c:formatCode>General</c:formatCode>
                <c:ptCount val="3"/>
                <c:pt idx="0">
                  <c:v>34</c:v>
                </c:pt>
                <c:pt idx="1">
                  <c:v>36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C6-494D-B5BD-63FF4E3A7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število</a:t>
            </a:r>
            <a:r>
              <a:rPr lang="en-GB" baseline="0"/>
              <a:t> točk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C-9248-B788-FFE959934B22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C-9248-B788-FFE959934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415231"/>
        <c:axId val="1760424639"/>
      </c:barChart>
      <c:catAx>
        <c:axId val="1760415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60424639"/>
        <c:crosses val="autoZero"/>
        <c:auto val="1"/>
        <c:lblAlgn val="ctr"/>
        <c:lblOffset val="100"/>
        <c:noMultiLvlLbl val="0"/>
      </c:catAx>
      <c:valAx>
        <c:axId val="176042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76041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55880</xdr:colOff>
      <xdr:row>11</xdr:row>
      <xdr:rowOff>91440</xdr:rowOff>
    </xdr:from>
    <xdr:to>
      <xdr:col>13</xdr:col>
      <xdr:colOff>502920</xdr:colOff>
      <xdr:row>25</xdr:row>
      <xdr:rowOff>132080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C0A8A-69C2-F3DC-670A-B4C1122B8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96520</xdr:colOff>
      <xdr:row>26</xdr:row>
      <xdr:rowOff>0</xdr:rowOff>
    </xdr:from>
    <xdr:to>
      <xdr:col>13</xdr:col>
      <xdr:colOff>543560</xdr:colOff>
      <xdr:row>40</xdr:row>
      <xdr:rowOff>40640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07ADF-C9DD-F2AC-765F-0CEE44708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9.628651041668" createdVersion="8" refreshedVersion="8" minRefreshableVersion="3" recordCount="28" xr:uid="{EDE30241-0B5E-D645-8707-8E6A307B1247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D0BFD-803F-D746-9CB6-20D46323A961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7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0" baseItem="0"/>
    <dataField name="Povprečje" fld="3" subtotal="average" baseField="0" baseItem="0" numFmtId="2"/>
    <dataField name="Maksimum" fld="3" subtotal="max" baseField="0" baseItem="0"/>
    <dataField name="Minimum" fld="3" subtotal="min" baseField="0" baseItem="0"/>
  </dataFields>
  <formats count="1"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3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10">
      <calculatedColumnFormula>COUNTIF(Rezultati[Skupina],Skupine[[#This Row],[Test]])</calculatedColumnFormula>
    </tableColumn>
    <tableColumn id="3" xr3:uid="{49F9352C-9597-4E44-8122-AF1CE6CE856F}" name="2022" dataDxfId="9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zoomScale="125" workbookViewId="0">
      <selection activeCell="P7" sqref="P7"/>
    </sheetView>
  </sheetViews>
  <sheetFormatPr baseColWidth="10" defaultColWidth="8.83203125" defaultRowHeight="15" x14ac:dyDescent="0.2"/>
  <cols>
    <col min="1" max="1" width="4.5" customWidth="1"/>
    <col min="2" max="2" width="10" bestFit="1" customWidth="1"/>
    <col min="3" max="3" width="9.33203125" bestFit="1" customWidth="1"/>
    <col min="4" max="4" width="9.6640625" bestFit="1" customWidth="1"/>
    <col min="5" max="5" width="8.1640625" bestFit="1" customWidth="1"/>
    <col min="6" max="6" width="9.1640625" bestFit="1" customWidth="1"/>
    <col min="7" max="7" width="9.1640625" customWidth="1"/>
    <col min="8" max="8" width="9.6640625" bestFit="1" customWidth="1"/>
    <col min="9" max="9" width="8.33203125" bestFit="1" customWidth="1"/>
    <col min="10" max="10" width="8.6640625" bestFit="1" customWidth="1"/>
    <col min="11" max="11" width="9.6640625" bestFit="1" customWidth="1"/>
    <col min="12" max="12" width="8.83203125" bestFit="1" customWidth="1"/>
  </cols>
  <sheetData>
    <row r="2" spans="2:12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">
      <c r="B3" t="s">
        <v>62</v>
      </c>
      <c r="C3" t="s">
        <v>63</v>
      </c>
      <c r="D3" t="s">
        <v>12</v>
      </c>
      <c r="E3">
        <v>38</v>
      </c>
      <c r="F3" t="str">
        <f>IF(Rezultati[[#This Row],[Točke]]&gt;=50,"da","ne")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">
      <c r="B4" t="s">
        <v>34</v>
      </c>
      <c r="C4" t="s">
        <v>35</v>
      </c>
      <c r="D4" t="s">
        <v>12</v>
      </c>
      <c r="E4">
        <v>39</v>
      </c>
      <c r="F4" t="str">
        <f>IF(Rezultati[[#This Row],[Točke]]&gt;=50,"da","ne")</f>
        <v>ne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">
      <c r="B5" t="s">
        <v>7</v>
      </c>
      <c r="C5" t="s">
        <v>36</v>
      </c>
      <c r="D5" t="s">
        <v>12</v>
      </c>
      <c r="E5">
        <v>36</v>
      </c>
      <c r="F5" t="str">
        <f>IF(Rezultati[[#This Row],[Točke]]&gt;=50,"da","ne")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">
      <c r="B6" t="s">
        <v>7</v>
      </c>
      <c r="C6" t="s">
        <v>8</v>
      </c>
      <c r="D6" t="s">
        <v>9</v>
      </c>
      <c r="E6">
        <v>93</v>
      </c>
      <c r="F6" t="str">
        <f>IF(Rezultati[[#This Row],[Točke]]&gt;=50,"da","ne")</f>
        <v>da</v>
      </c>
    </row>
    <row r="7" spans="2:12" x14ac:dyDescent="0.2">
      <c r="B7" t="s">
        <v>37</v>
      </c>
      <c r="C7" t="s">
        <v>38</v>
      </c>
      <c r="D7" t="s">
        <v>9</v>
      </c>
      <c r="E7">
        <v>77</v>
      </c>
      <c r="F7" t="str">
        <f>IF(Rezultati[[#This Row],[Točke]]&gt;=50,"da","ne")</f>
        <v>da</v>
      </c>
      <c r="H7" s="2" t="s">
        <v>2</v>
      </c>
      <c r="I7" t="s">
        <v>6</v>
      </c>
      <c r="J7" t="s">
        <v>66</v>
      </c>
      <c r="K7" t="s">
        <v>68</v>
      </c>
      <c r="L7" t="s">
        <v>67</v>
      </c>
    </row>
    <row r="8" spans="2:12" x14ac:dyDescent="0.2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Row],[Točke]]&gt;=50,"da","ne")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">
      <c r="B9" t="s">
        <v>10</v>
      </c>
      <c r="C9" t="s">
        <v>11</v>
      </c>
      <c r="D9" t="s">
        <v>9</v>
      </c>
      <c r="E9">
        <v>94</v>
      </c>
      <c r="F9" t="str">
        <f>IF(Rezultati[[#This Row],[Točke]]&gt;=50,"da","ne")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">
      <c r="B10" t="s">
        <v>41</v>
      </c>
      <c r="C10" t="s">
        <v>42</v>
      </c>
      <c r="D10" t="s">
        <v>15</v>
      </c>
      <c r="E10">
        <v>26</v>
      </c>
      <c r="F10" t="str">
        <f>IF(Rezultati[[#This Row],[Točke]]&gt;=50,"da","ne")</f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">
      <c r="B11" t="s">
        <v>13</v>
      </c>
      <c r="C11" t="s">
        <v>14</v>
      </c>
      <c r="D11" t="s">
        <v>12</v>
      </c>
      <c r="E11">
        <v>44</v>
      </c>
      <c r="F11" t="str">
        <f>IF(Rezultati[[#This Row],[Točke]]&gt;=50,"da","ne")</f>
        <v>ne</v>
      </c>
    </row>
    <row r="12" spans="2:12" x14ac:dyDescent="0.2">
      <c r="B12" t="s">
        <v>16</v>
      </c>
      <c r="C12" t="s">
        <v>17</v>
      </c>
      <c r="D12" t="s">
        <v>15</v>
      </c>
      <c r="E12">
        <v>34</v>
      </c>
      <c r="F12" t="str">
        <f>IF(Rezultati[[#This Row],[Točke]]&gt;=50,"da","ne")</f>
        <v>ne</v>
      </c>
    </row>
    <row r="13" spans="2:12" x14ac:dyDescent="0.2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Row],[Točke]]&gt;=50,"da","ne")</f>
        <v>da</v>
      </c>
    </row>
    <row r="14" spans="2:12" x14ac:dyDescent="0.2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Row],[Točke]]&gt;=50,"da","ne")</f>
        <v>da</v>
      </c>
    </row>
    <row r="15" spans="2:12" x14ac:dyDescent="0.2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Row],[Točke]]&gt;=50,"da","ne")</f>
        <v>da</v>
      </c>
    </row>
    <row r="16" spans="2:12" x14ac:dyDescent="0.2">
      <c r="B16" t="s">
        <v>20</v>
      </c>
      <c r="C16" t="s">
        <v>21</v>
      </c>
      <c r="D16" t="s">
        <v>9</v>
      </c>
      <c r="E16">
        <v>42</v>
      </c>
      <c r="F16" t="str">
        <f>IF(Rezultati[[#This Row],[Točke]]&gt;=50,"da","ne")</f>
        <v>ne</v>
      </c>
    </row>
    <row r="17" spans="2:6" x14ac:dyDescent="0.2">
      <c r="B17" t="s">
        <v>47</v>
      </c>
      <c r="C17" t="s">
        <v>48</v>
      </c>
      <c r="D17" t="s">
        <v>15</v>
      </c>
      <c r="E17">
        <v>44</v>
      </c>
      <c r="F17" t="str">
        <f>IF(Rezultati[[#This Row],[Točke]]&gt;=50,"da","ne")</f>
        <v>ne</v>
      </c>
    </row>
    <row r="18" spans="2:6" x14ac:dyDescent="0.2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Row],[Točke]]&gt;=50,"da","ne")</f>
        <v>da</v>
      </c>
    </row>
    <row r="19" spans="2:6" x14ac:dyDescent="0.2">
      <c r="B19" t="s">
        <v>24</v>
      </c>
      <c r="C19" t="s">
        <v>25</v>
      </c>
      <c r="D19" t="s">
        <v>15</v>
      </c>
      <c r="E19">
        <v>30</v>
      </c>
      <c r="F19" t="str">
        <f>IF(Rezultati[[#This Row],[Točke]]&gt;=50,"da","ne")</f>
        <v>ne</v>
      </c>
    </row>
    <row r="20" spans="2:6" x14ac:dyDescent="0.2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Row],[Točke]]&gt;=50,"da","ne")</f>
        <v>da</v>
      </c>
    </row>
    <row r="21" spans="2:6" x14ac:dyDescent="0.2">
      <c r="B21" t="s">
        <v>50</v>
      </c>
      <c r="C21" t="s">
        <v>51</v>
      </c>
      <c r="D21" t="s">
        <v>9</v>
      </c>
      <c r="E21">
        <v>43</v>
      </c>
      <c r="F21" t="str">
        <f>IF(Rezultati[[#This Row],[Točke]]&gt;=50,"da","ne")</f>
        <v>ne</v>
      </c>
    </row>
    <row r="22" spans="2:6" x14ac:dyDescent="0.2">
      <c r="B22" t="s">
        <v>60</v>
      </c>
      <c r="C22" t="s">
        <v>61</v>
      </c>
      <c r="D22" t="s">
        <v>9</v>
      </c>
      <c r="E22">
        <v>38</v>
      </c>
      <c r="F22" t="str">
        <f>IF(Rezultati[[#This Row],[Točke]]&gt;=50,"da","ne")</f>
        <v>ne</v>
      </c>
    </row>
    <row r="23" spans="2:6" x14ac:dyDescent="0.2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Row],[Točke]]&gt;=50,"da","ne")</f>
        <v>da</v>
      </c>
    </row>
    <row r="24" spans="2:6" x14ac:dyDescent="0.2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Row],[Točke]]&gt;=50,"da","ne")</f>
        <v>da</v>
      </c>
    </row>
    <row r="25" spans="2:6" x14ac:dyDescent="0.2">
      <c r="B25" t="s">
        <v>56</v>
      </c>
      <c r="C25" t="s">
        <v>57</v>
      </c>
      <c r="D25" t="s">
        <v>9</v>
      </c>
      <c r="E25">
        <v>34</v>
      </c>
      <c r="F25" t="str">
        <f>IF(Rezultati[[#This Row],[Točke]]&gt;=50,"da","ne")</f>
        <v>ne</v>
      </c>
    </row>
    <row r="26" spans="2:6" x14ac:dyDescent="0.2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Row],[Točke]]&gt;=50,"da","ne")</f>
        <v>da</v>
      </c>
    </row>
    <row r="27" spans="2:6" x14ac:dyDescent="0.2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Row],[Točke]]&gt;=50,"da","ne")</f>
        <v>da</v>
      </c>
    </row>
    <row r="28" spans="2:6" x14ac:dyDescent="0.2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Row],[Točke]]&gt;=50,"da","ne")</f>
        <v>da</v>
      </c>
    </row>
    <row r="29" spans="2:6" x14ac:dyDescent="0.2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Row],[Točke]]&gt;=50,"da","ne")</f>
        <v>da</v>
      </c>
    </row>
    <row r="30" spans="2:6" x14ac:dyDescent="0.2">
      <c r="B30" t="s">
        <v>32</v>
      </c>
      <c r="C30" t="s">
        <v>33</v>
      </c>
      <c r="D30" t="s">
        <v>9</v>
      </c>
      <c r="E30">
        <v>46</v>
      </c>
      <c r="F30" t="str">
        <f>IF(Rezultati[[#This Row],[Točke]]&gt;=50,"da","ne")</f>
        <v>ne</v>
      </c>
    </row>
  </sheetData>
  <conditionalFormatting sqref="B3:C30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C30 E3:E30">
    <cfRule type="expression" dxfId="0" priority="1">
      <formula>$E3&lt;50</formula>
    </cfRule>
  </conditionalFormatting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Bele, Vita</cp:lastModifiedBy>
  <dcterms:created xsi:type="dcterms:W3CDTF">2007-11-10T02:36:44Z</dcterms:created>
  <dcterms:modified xsi:type="dcterms:W3CDTF">2025-12-08T14:36:15Z</dcterms:modified>
</cp:coreProperties>
</file>