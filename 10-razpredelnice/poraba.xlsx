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a/Desktop/10-razpredelnice/"/>
    </mc:Choice>
  </mc:AlternateContent>
  <xr:revisionPtr revIDLastSave="0" documentId="13_ncr:1_{143269F3-3E6E-8547-A434-BA72F9041CC1}" xr6:coauthVersionLast="47" xr6:coauthVersionMax="47" xr10:uidLastSave="{00000000-0000-0000-0000-000000000000}"/>
  <bookViews>
    <workbookView xWindow="0" yWindow="620" windowWidth="28800" windowHeight="159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<sst xmlns="http://schemas.openxmlformats.org/spreadsheetml/2006/main" count="22" uniqueCount="21">
  <si>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</si>
  <si>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</si>
  <si>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</si>
  <si>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</si>
  <si>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</si>
  <si>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</si>
  <si>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</si>
  <si>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</si>
  <si>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</si>
  <si>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</si>
  <si>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</si>
  <si>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Column Labels</t>
  </si>
  <si>
    <t>May</t>
  </si>
  <si>
    <t>Jun</t>
  </si>
  <si>
    <t>Jul</t>
  </si>
  <si>
    <t>Aug</t>
  </si>
  <si>
    <t>Sep</t>
  </si>
  <si>
    <t>Oct</t>
  </si>
  <si>
    <t>Skupaj km</t>
  </si>
  <si>
    <t>Values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</si>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</sst>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8" formatCode="#,##0.00\ &quot;€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9.69090011574" createdVersion="8" refreshedVersion="8" minRefreshableVersion="3" recordCount="19" xr:uid="{5AE64232-214D-BC46-BE57-0B4C305C04F1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168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/>
    </cacheField>
    <cacheField name="Prikaz" numFmtId="2">
      <sharedItems containsString="0" containsBlank="1" containsNumber="1" minValue="6.3103953147877023" maxValue="8.1008968609865484"/>
    </cacheField>
    <cacheField name="Days (Datum)" numFmtId="0" databaseField="0">
      <fieldGroup base="0">
        <rangePr groupBy="days" startDate="2023-05-05T00:00:00" endDate="2023-10-15T00:00:00"/>
        <groupItems count="368">
          <s v="&lt;5.5.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ug"/>
          <s v="2.Aug"/>
          <s v="3.Aug"/>
          <s v="4.Aug"/>
          <s v="5.Aug"/>
          <s v="6.Aug"/>
          <s v="7.Aug"/>
          <s v="8.Aug"/>
          <s v="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ct"/>
          <s v="2.Oct"/>
          <s v="3.Oct"/>
          <s v="4.Oct"/>
          <s v="5.Oct"/>
          <s v="6.Oct"/>
          <s v="7.Oct"/>
          <s v="8.Oct"/>
          <s v="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5.5.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.10.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s v=""/>
    <m/>
  </r>
  <r>
    <x v="1"/>
    <n v="43.02"/>
    <n v="59.797800000000002"/>
    <n v="42521"/>
    <x v="1"/>
    <n v="7.006514657980456"/>
    <n v="7.006514657980456"/>
  </r>
  <r>
    <x v="2"/>
    <n v="41.67"/>
    <n v="57.921299999999995"/>
    <n v="43181"/>
    <x v="2"/>
    <n v="6.3136363636363644"/>
    <n v="6.3136363636363644"/>
  </r>
  <r>
    <x v="3"/>
    <n v="34.04"/>
    <n v="47.043279999999996"/>
    <n v="43696"/>
    <x v="3"/>
    <n v="6.6097087378640769"/>
    <n v="6.6097087378640769"/>
  </r>
  <r>
    <x v="4"/>
    <n v="42.42"/>
    <n v="59.897039999999997"/>
    <n v="44314"/>
    <x v="4"/>
    <n v="6.8640776699029127"/>
    <n v="6.8640776699029127"/>
  </r>
  <r>
    <x v="5"/>
    <n v="43.1"/>
    <n v="60.857199999999999"/>
    <n v="44997"/>
    <x v="5"/>
    <n v="6.3103953147877023"/>
    <n v="6.3103953147877023"/>
  </r>
  <r>
    <x v="6"/>
    <n v="38.18"/>
    <n v="54.368319999999997"/>
    <n v="45546"/>
    <x v="6"/>
    <n v="6.9544626593806917"/>
    <n v="6.9544626593806917"/>
  </r>
  <r>
    <x v="7"/>
    <n v="40.659999999999997"/>
    <n v="58.713039999999992"/>
    <n v="46126"/>
    <x v="7"/>
    <n v="7.0103448275862066"/>
    <n v="7.0103448275862066"/>
  </r>
  <r>
    <x v="8"/>
    <n v="39.17"/>
    <n v="56.561480000000003"/>
    <n v="46687"/>
    <x v="8"/>
    <n v="6.9821746880570412"/>
    <n v="6.9821746880570412"/>
  </r>
  <r>
    <x v="9"/>
    <n v="40.29"/>
    <n v="58.662239999999997"/>
    <n v="47250"/>
    <x v="9"/>
    <n v="7.1563055062166967"/>
    <n v="7.1563055062166967"/>
  </r>
  <r>
    <x v="10"/>
    <n v="41.01"/>
    <n v="59.710559999999994"/>
    <n v="47867"/>
    <x v="10"/>
    <n v="6.6466774716369521"/>
    <n v="6.6466774716369521"/>
  </r>
  <r>
    <x v="11"/>
    <n v="37.18"/>
    <n v="56.178979999999996"/>
    <n v="48407"/>
    <x v="11"/>
    <n v="6.8851851851851844"/>
    <n v="6.8851851851851844"/>
  </r>
  <r>
    <x v="12"/>
    <n v="41.46"/>
    <n v="62.646059999999999"/>
    <n v="49005"/>
    <x v="12"/>
    <n v="6.9331103678929766"/>
    <n v="6.9331103678929766"/>
  </r>
  <r>
    <x v="13"/>
    <n v="35.97"/>
    <n v="55.537680000000002"/>
    <n v="49480"/>
    <x v="13"/>
    <n v="7.5726315789473686"/>
    <n v="7.5726315789473686"/>
  </r>
  <r>
    <x v="14"/>
    <n v="38.74"/>
    <n v="60.085740000000001"/>
    <n v="50012"/>
    <x v="14"/>
    <n v="7.2819548872180455"/>
    <n v="7.2819548872180455"/>
  </r>
  <r>
    <x v="15"/>
    <n v="36.130000000000003"/>
    <n v="56.03763"/>
    <n v="50458"/>
    <x v="15"/>
    <n v="8.1008968609865484"/>
    <n v="8.1008968609865484"/>
  </r>
  <r>
    <x v="16"/>
    <n v="38.51"/>
    <n v="61.153880000000001"/>
    <n v="50991"/>
    <x v="16"/>
    <n v="7.2251407129455911"/>
    <n v="7.2251407129455911"/>
  </r>
  <r>
    <x v="17"/>
    <n v="38.840000000000003"/>
    <n v="61.677920000000007"/>
    <n v="51593"/>
    <x v="17"/>
    <n v="6.4518272425249172"/>
    <n v="6.4518272425249172"/>
  </r>
  <r>
    <x v="18"/>
    <n v="41.73"/>
    <n v="64.097279999999998"/>
    <n v="52176"/>
    <x v="18"/>
    <n v="7.1578044596912509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AEE28-B5F1-7D4C-AEA8-6A26FFD32782}" name="PivotTable1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I32" firstHeaderRow="1" firstDataRow="4" firstDataCol="1"/>
  <pivotFields count="9">
    <pivotField axis="axisCol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68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3">
    <field x="8"/>
    <field x="7"/>
    <field x="0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m" fld="4" baseField="0" baseItem="0"/>
    <dataField name="Povprečna poraba" fld="5" subtotal="average" baseField="0" baseItem="0"/>
  </dataFields>
  <formats count="1">
    <format dxfId="1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3"/>
    <tableColumn id="2" xr3:uid="{6DC2697C-FCB3-8A47-945B-8CD05834AA8C}" uniqueName="2" name="Litri" queryTableFieldId="2" dataDxfId="12"/>
    <tableColumn id="3" xr3:uid="{19DBC541-3ADF-4E48-8786-6E42DA219788}" uniqueName="3" name="Plačano" queryTableFieldId="3" dataDxfId="11"/>
    <tableColumn id="4" xr3:uid="{3238A9AD-2FC0-0E49-9EE3-7019C05B366B}" uniqueName="4" name="Števec" queryTableFieldId="4" dataDxfId="10"/>
    <tableColumn id="5" xr3:uid="{E0B5480D-9C8F-CA4C-941D-AE9FDE0CDFDC}" uniqueName="5" name="Prevoženo" queryTableFieldId="5" dataDxfId="9"/>
    <tableColumn id="6" xr3:uid="{1DEAFC6B-8470-6742-BAB3-957B7429D133}" uniqueName="6" name="Poraba" queryTableFieldId="6" dataDxfId="8"/>
    <tableColumn id="11" xr3:uid="{911769A8-5CFE-8245-A64B-38797D90A3B5}" uniqueName="11" name="Prikaz" queryTableFieldId="11" dataDxfId="2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7" tableBorderDxfId="6" totalsRowBorderDxfId="5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4"/>
    <tableColumn id="2" xr3:uid="{079EA12A-47EB-F54A-8E37-30D8BCE75150}" name="Bencin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2"/>
  <sheetViews>
    <sheetView tabSelected="1" topLeftCell="A15" zoomScale="150" zoomScaleNormal="125" workbookViewId="0">
      <selection activeCell="C33" sqref="C33"/>
    </sheetView>
  </sheetViews>
  <sheetFormatPr baseColWidth="10" defaultRowHeight="15" x14ac:dyDescent="0.2"/>
  <cols>
    <col min="1" max="1" width="3.83203125" customWidth="1"/>
    <col min="2" max="2" width="15.1640625" bestFit="1" customWidth="1"/>
    <col min="3" max="3" width="14.83203125" bestFit="1" customWidth="1"/>
    <col min="4" max="6" width="12.1640625" bestFit="1" customWidth="1"/>
    <col min="7" max="7" width="11.1640625" bestFit="1" customWidth="1"/>
    <col min="8" max="9" width="12.1640625" bestFit="1" customWidth="1"/>
    <col min="10" max="11" width="15" bestFit="1" customWidth="1"/>
    <col min="12" max="13" width="14.83203125" bestFit="1" customWidth="1"/>
    <col min="14" max="14" width="13.6640625" bestFit="1" customWidth="1"/>
    <col min="15" max="15" width="18.33203125" bestFit="1" customWidth="1"/>
    <col min="16" max="20" width="14.83203125" bestFit="1" customWidth="1"/>
    <col min="21" max="21" width="10.33203125" bestFit="1" customWidth="1"/>
  </cols>
  <sheetData>
    <row r="2" spans="2:11" x14ac:dyDescent="0.2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">
      <c r="B3" s="1">
        <v>45051</v>
      </c>
      <c r="C3" s="3">
        <v>41.17</v>
      </c>
      <c r="D3" s="6">
        <f>INDEX(Table3[Bencin],MATCH(realna_poraba_cupra__2[[#This Row],[Datum]],Table3[Veljavnost],1))*realna_poraba_cupra__2[[#This Row],[Litri]]</f>
        <v>58.296720000000001</v>
      </c>
      <c r="E3" s="2">
        <v>41907</v>
      </c>
      <c r="F3" t="s">
        <v>4</v>
      </c>
      <c r="G3" t="s">
        <v>4</v>
      </c>
      <c r="H3" s="3"/>
      <c r="J3" s="1">
        <v>44930</v>
      </c>
      <c r="K3" s="4">
        <v>1.276</v>
      </c>
    </row>
    <row r="4" spans="2:11" x14ac:dyDescent="0.2">
      <c r="B4" s="1">
        <v>45059</v>
      </c>
      <c r="C4" s="3">
        <v>43.02</v>
      </c>
      <c r="D4" s="6">
        <f>INDEX(Table3[Bencin],MATCH(realna_poraba_cupra__2[[#This Row],[Datum]],Table3[Veljavnost],1))*realna_poraba_cupra__2[[#This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2">
      <c r="B5" s="1">
        <v>45068</v>
      </c>
      <c r="C5" s="3">
        <v>41.67</v>
      </c>
      <c r="D5" s="6">
        <f>INDEX(Table3[Bencin],MATCH(realna_poraba_cupra__2[[#This Row],[Datum]],Table3[Veljavnost],1))*realna_poraba_cupra__2[[#This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2">
      <c r="B6" s="1">
        <v>45073</v>
      </c>
      <c r="C6" s="3">
        <v>34.04</v>
      </c>
      <c r="D6" s="6">
        <f>INDEX(Table3[Bencin],MATCH(realna_poraba_cupra__2[[#This Row],[Datum]],Table3[Veljavnost],1))*realna_poraba_cupra__2[[#This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2">
      <c r="B7" s="1">
        <v>45085</v>
      </c>
      <c r="C7" s="3">
        <v>42.42</v>
      </c>
      <c r="D7" s="6">
        <f>INDEX(Table3[Bencin],MATCH(realna_poraba_cupra__2[[#This Row],[Datum]],Table3[Veljavnost],1))*realna_poraba_cupra__2[[#This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2">
      <c r="B8" s="1">
        <v>45093</v>
      </c>
      <c r="C8" s="3">
        <v>43.1</v>
      </c>
      <c r="D8" s="6">
        <f>INDEX(Table3[Bencin],MATCH(realna_poraba_cupra__2[[#This Row],[Datum]],Table3[Veljavnost],1))*realna_poraba_cupra__2[[#This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2">
      <c r="B9" s="1">
        <v>45099</v>
      </c>
      <c r="C9" s="3">
        <v>38.18</v>
      </c>
      <c r="D9" s="6">
        <f>INDEX(Table3[Bencin],MATCH(realna_poraba_cupra__2[[#This Row],[Datum]],Table3[Veljavnost],1))*realna_poraba_cupra__2[[#This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2">
      <c r="B10" s="1">
        <v>45113</v>
      </c>
      <c r="C10" s="3">
        <v>40.659999999999997</v>
      </c>
      <c r="D10" s="6">
        <f>INDEX(Table3[Bencin],MATCH(realna_poraba_cupra__2[[#This Row],[Datum]],Table3[Veljavnost],1))*realna_poraba_cupra__2[[#This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2">
      <c r="B11" s="1">
        <v>45122</v>
      </c>
      <c r="C11" s="3">
        <v>39.17</v>
      </c>
      <c r="D11" s="6">
        <f>INDEX(Table3[Bencin],MATCH(realna_poraba_cupra__2[[#This Row],[Datum]],Table3[Veljavnost],1))*realna_poraba_cupra__2[[#This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2">
      <c r="B12" s="1">
        <v>45129</v>
      </c>
      <c r="C12" s="3">
        <v>40.29</v>
      </c>
      <c r="D12" s="6">
        <f>INDEX(Table3[Bencin],MATCH(realna_poraba_cupra__2[[#This Row],[Datum]],Table3[Veljavnost],1))*realna_poraba_cupra__2[[#This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2">
      <c r="B13" s="1">
        <v>45138</v>
      </c>
      <c r="C13" s="3">
        <v>41.01</v>
      </c>
      <c r="D13" s="6">
        <f>INDEX(Table3[Bencin],MATCH(realna_poraba_cupra__2[[#This Row],[Datum]],Table3[Veljavnost],1))*realna_poraba_cupra__2[[#This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2">
      <c r="B14" s="1">
        <v>45151</v>
      </c>
      <c r="C14" s="3">
        <v>37.18</v>
      </c>
      <c r="D14" s="6">
        <f>INDEX(Table3[Bencin],MATCH(realna_poraba_cupra__2[[#This Row],[Datum]],Table3[Veljavnost],1))*realna_poraba_cupra__2[[#This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2">
      <c r="B15" s="1">
        <v>45163</v>
      </c>
      <c r="C15" s="3">
        <v>41.46</v>
      </c>
      <c r="D15" s="6">
        <f>INDEX(Table3[Bencin],MATCH(realna_poraba_cupra__2[[#This Row],[Datum]],Table3[Veljavnost],1))*realna_poraba_cupra__2[[#This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2">
      <c r="B16" s="1">
        <v>45175</v>
      </c>
      <c r="C16" s="3">
        <v>35.97</v>
      </c>
      <c r="D16" s="6">
        <f>INDEX(Table3[Bencin],MATCH(realna_poraba_cupra__2[[#This Row],[Datum]],Table3[Veljavnost],1))*realna_poraba_cupra__2[[#This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2">
      <c r="B17" s="1">
        <v>45184</v>
      </c>
      <c r="C17" s="3">
        <v>38.74</v>
      </c>
      <c r="D17" s="6">
        <f>INDEX(Table3[Bencin],MATCH(realna_poraba_cupra__2[[#This Row],[Datum]],Table3[Veljavnost],1))*realna_poraba_cupra__2[[#This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2">
      <c r="B18" s="1">
        <v>45191</v>
      </c>
      <c r="C18" s="3">
        <v>36.130000000000003</v>
      </c>
      <c r="D18" s="6">
        <f>INDEX(Table3[Bencin],MATCH(realna_poraba_cupra__2[[#This Row],[Datum]],Table3[Veljavnost],1))*realna_poraba_cupra__2[[#This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2">
      <c r="B19" s="1">
        <v>45198</v>
      </c>
      <c r="C19" s="3">
        <v>38.51</v>
      </c>
      <c r="D19" s="6">
        <f>INDEX(Table3[Bencin],MATCH(realna_poraba_cupra__2[[#This Row],[Datum]],Table3[Veljavnost],1))*realna_poraba_cupra__2[[#This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2">
      <c r="B20" s="1">
        <v>45205</v>
      </c>
      <c r="C20" s="3">
        <v>38.840000000000003</v>
      </c>
      <c r="D20" s="6">
        <f>INDEX(Table3[Bencin],MATCH(realna_poraba_cupra__2[[#This Row],[Datum]],Table3[Veljavnost],1))*realna_poraba_cupra__2[[#This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2">
      <c r="B21" s="1">
        <v>45213</v>
      </c>
      <c r="C21" s="3">
        <v>41.73</v>
      </c>
      <c r="D21" s="6">
        <f>INDEX(Table3[Bencin],MATCH(realna_poraba_cupra__2[[#This Row],[Datum]],Table3[Veljavnost],1))*realna_poraba_cupra__2[[#This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2">
      <c r="J22" s="1">
        <v>45195</v>
      </c>
      <c r="K22" s="4">
        <v>1.5880000000000001</v>
      </c>
    </row>
    <row r="23" spans="2:11" x14ac:dyDescent="0.2">
      <c r="J23" s="1">
        <v>45209</v>
      </c>
      <c r="K23" s="4">
        <v>1.536</v>
      </c>
    </row>
    <row r="24" spans="2:11" x14ac:dyDescent="0.2">
      <c r="J24" s="1">
        <v>45223</v>
      </c>
      <c r="K24" s="4">
        <v>1.536</v>
      </c>
    </row>
    <row r="25" spans="2:11" x14ac:dyDescent="0.2">
      <c r="J25" s="1">
        <v>45237</v>
      </c>
      <c r="K25" s="4">
        <v>1.534</v>
      </c>
    </row>
    <row r="26" spans="2:11" x14ac:dyDescent="0.2">
      <c r="E26" s="5"/>
    </row>
    <row r="27" spans="2:11" x14ac:dyDescent="0.2">
      <c r="C27" s="7" t="s">
        <v>11</v>
      </c>
    </row>
    <row r="28" spans="2:11" x14ac:dyDescent="0.2"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10</v>
      </c>
    </row>
    <row r="30" spans="2:11" x14ac:dyDescent="0.2">
      <c r="B30" s="7" t="s">
        <v>19</v>
      </c>
    </row>
    <row r="31" spans="2:11" x14ac:dyDescent="0.2">
      <c r="B31" s="8" t="s">
        <v>18</v>
      </c>
      <c r="C31" s="9">
        <v>1789</v>
      </c>
      <c r="D31" s="9">
        <v>1850</v>
      </c>
      <c r="E31" s="9">
        <v>2321</v>
      </c>
      <c r="F31" s="9">
        <v>1138</v>
      </c>
      <c r="G31" s="9">
        <v>1986</v>
      </c>
      <c r="H31" s="9">
        <v>1185</v>
      </c>
      <c r="I31" s="9">
        <v>10269</v>
      </c>
    </row>
    <row r="32" spans="2:11" x14ac:dyDescent="0.2">
      <c r="B32" s="8" t="s">
        <v>20</v>
      </c>
      <c r="C32" s="3">
        <v>6.643286586493633</v>
      </c>
      <c r="D32" s="3">
        <v>6.7096452146904353</v>
      </c>
      <c r="E32" s="3">
        <v>6.9488756233742244</v>
      </c>
      <c r="F32" s="3">
        <v>6.909147776539081</v>
      </c>
      <c r="G32" s="3">
        <v>7.5451560100243888</v>
      </c>
      <c r="H32" s="3">
        <v>6.8048158511080841</v>
      </c>
      <c r="I32" s="3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{F1C3A158-EA71-7A40-96B1-63FCC98EAEA8}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C3A158-EA71-7A40-96B1-63FCC98EAEA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Bele, Vita</cp:lastModifiedBy>
  <dcterms:created xsi:type="dcterms:W3CDTF">2007-10-01T06:54:22Z</dcterms:created>
  <dcterms:modified xsi:type="dcterms:W3CDTF">2025-12-08T18:42:10Z</dcterms:modified>
</cp:coreProperties>
</file>